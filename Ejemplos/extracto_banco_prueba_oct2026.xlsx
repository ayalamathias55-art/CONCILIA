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mi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<sst xmlns="http://schemas.openxmlformats.org/spreadsheetml/2006/main" count="63" uniqueCount="60">
  <si>
    <t xml:space="preserve">BANCO DEMO S.A.</t>
  </si>
  <si>
    <t xml:space="preserve">Extracto de cuenta corriente en guaraníes</t>
  </si>
  <si>
    <t xml:space="preserve">Titular: EMPRESA DEMO S.A.   ·   Cuenta Nº 0012-0045871-3   ·   Moneda: PYG</t>
  </si>
  <si>
    <t xml:space="preserve">Período: 01/10/2026 al 31/10/2026</t>
  </si>
  <si>
    <t xml:space="preserve">Fecha</t>
  </si>
  <si>
    <t xml:space="preserve">Concepto</t>
  </si>
  <si>
    <t xml:space="preserve">Referencia</t>
  </si>
  <si>
    <t xml:space="preserve">Débito</t>
  </si>
  <si>
    <t xml:space="preserve">Crédito</t>
  </si>
  <si>
    <t xml:space="preserve">Saldo</t>
  </si>
  <si>
    <t xml:space="preserve">SALDO ANTERIOR</t>
  </si>
  <si>
    <t xml:space="preserve">DEPOSITO EN EFECTIVO SUC. CENTRO</t>
  </si>
  <si>
    <t xml:space="preserve">90011</t>
  </si>
  <si>
    <t xml:space="preserve">CHEQUE PAGADO 005101</t>
  </si>
  <si>
    <t xml:space="preserve">005101</t>
  </si>
  <si>
    <t xml:space="preserve">TRANSF. RECIBIDA ALIMENTOS DEL SUR SA</t>
  </si>
  <si>
    <t xml:space="preserve">802114</t>
  </si>
  <si>
    <t xml:space="preserve">TRANSF. ENVIADA PAPELERA ASUNCION</t>
  </si>
  <si>
    <t xml:space="preserve">671002</t>
  </si>
  <si>
    <t xml:space="preserve">DEBITO AUTOMATICO ANDE</t>
  </si>
  <si>
    <t xml:space="preserve">130871</t>
  </si>
  <si>
    <t xml:space="preserve">671045</t>
  </si>
  <si>
    <t xml:space="preserve">PAGO IPS POR TRANSFERENCIA</t>
  </si>
  <si>
    <t xml:space="preserve">552301</t>
  </si>
  <si>
    <t xml:space="preserve">CHEQUE PAGADO 005102</t>
  </si>
  <si>
    <t xml:space="preserve">005102</t>
  </si>
  <si>
    <t xml:space="preserve">DEPOSITO CHEQUES VARIOS</t>
  </si>
  <si>
    <t xml:space="preserve">90087</t>
  </si>
  <si>
    <t xml:space="preserve">TRANSF. RECIBIDA CONSTRUCTORA ITAPUA</t>
  </si>
  <si>
    <t xml:space="preserve">802560</t>
  </si>
  <si>
    <t xml:space="preserve">PAGO TARJETA CORPORATIVA</t>
  </si>
  <si>
    <t xml:space="preserve">440012</t>
  </si>
  <si>
    <t xml:space="preserve">CHEQUE PAGADO 005104</t>
  </si>
  <si>
    <t xml:space="preserve">005104</t>
  </si>
  <si>
    <t xml:space="preserve">DEBITO AUTOMATICO COPACO</t>
  </si>
  <si>
    <t xml:space="preserve">130990</t>
  </si>
  <si>
    <t xml:space="preserve">TRANSF. ENVIADA SUELDOS OCTUBRE</t>
  </si>
  <si>
    <t xml:space="preserve">671300</t>
  </si>
  <si>
    <t xml:space="preserve">90140</t>
  </si>
  <si>
    <t xml:space="preserve">PAGO SET IVA SEPTIEMBRE</t>
  </si>
  <si>
    <t xml:space="preserve">331470</t>
  </si>
  <si>
    <t xml:space="preserve">TRANSF. RECIBIDA FARMACIAS UNIDAS</t>
  </si>
  <si>
    <t xml:space="preserve">802901</t>
  </si>
  <si>
    <t xml:space="preserve">CHEQUE PAGADO 005105</t>
  </si>
  <si>
    <t xml:space="preserve">005105</t>
  </si>
  <si>
    <t xml:space="preserve">TRANSF. ENVIADA SEGUROS GUARANI</t>
  </si>
  <si>
    <t xml:space="preserve">671422</t>
  </si>
  <si>
    <t xml:space="preserve">803050</t>
  </si>
  <si>
    <t xml:space="preserve">DEBITO AUTOMATICO ESSAP</t>
  </si>
  <si>
    <t xml:space="preserve">131020</t>
  </si>
  <si>
    <t xml:space="preserve">CHEQUE PAGADO 005107</t>
  </si>
  <si>
    <t xml:space="preserve">005107</t>
  </si>
  <si>
    <t xml:space="preserve">INTERESES GANADOS</t>
  </si>
  <si>
    <t xml:space="preserve">COMISION MANTENIMIENTO DE CUENTA</t>
  </si>
  <si>
    <t xml:space="preserve">IVA S/ COMISION</t>
  </si>
  <si>
    <t xml:space="preserve">COMISION CHEQUERA</t>
  </si>
  <si>
    <t xml:space="preserve">Total débitos</t>
  </si>
  <si>
    <t xml:space="preserve">Total créditos</t>
  </si>
  <si>
    <t xml:space="preserve">Saldo final</t>
  </si>
  <si>
    <t xml:space="preserve">Saldo anterior (celda azul) tomado del cierre de septiembre. Datos ficticios para pruebas.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</si>
</sst>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customFormat="false" ht="15" hidden="false" customHeight="false" outlineLevel="0" collapsed="false">
      <c r="A7" s="4" t="n">
        <v>46296</v>
      </c>
      <c r="B7" s="5" t="s">
        <v>10</v>
      </c>
      <c r="C7" s="5"/>
      <c r="D7" s="6"/>
      <c r="E7" s="6"/>
      <c r="F7" s="7" t="n">
        <v>52640000</v>
      </c>
    </row>
    <row r="8" customFormat="false" ht="15" hidden="false" customHeight="false" outlineLevel="0" collapsed="false">
      <c r="A8" s="4" t="n">
        <v>46296</v>
      </c>
      <c r="B8" s="5" t="s">
        <v>11</v>
      </c>
      <c r="C8" s="5" t="s">
        <v>12</v>
      </c>
      <c r="D8" s="6"/>
      <c r="E8" s="6" t="n">
        <v>18300000</v>
      </c>
      <c r="F8" s="6" t="n">
        <f aca="false">F7-D8+E8</f>
        <v>70940000</v>
      </c>
    </row>
    <row r="9" customFormat="false" ht="15" hidden="false" customHeight="false" outlineLevel="0" collapsed="false">
      <c r="A9" s="4" t="n">
        <v>46297</v>
      </c>
      <c r="B9" s="5" t="s">
        <v>13</v>
      </c>
      <c r="C9" s="5" t="s">
        <v>14</v>
      </c>
      <c r="D9" s="6" t="n">
        <v>4750000</v>
      </c>
      <c r="E9" s="6"/>
      <c r="F9" s="6" t="n">
        <f aca="false">F8-D9+E9</f>
        <v>66190000</v>
      </c>
    </row>
    <row r="10" customFormat="false" ht="15" hidden="false" customHeight="false" outlineLevel="0" collapsed="false">
      <c r="A10" s="4" t="n">
        <v>46297</v>
      </c>
      <c r="B10" s="5" t="s">
        <v>15</v>
      </c>
      <c r="C10" s="5" t="s">
        <v>16</v>
      </c>
      <c r="D10" s="6"/>
      <c r="E10" s="6" t="n">
        <v>11200000</v>
      </c>
      <c r="F10" s="6" t="n">
        <f aca="false">F9-D10+E10</f>
        <v>77390000</v>
      </c>
    </row>
    <row r="11" customFormat="false" ht="15" hidden="false" customHeight="false" outlineLevel="0" collapsed="false">
      <c r="A11" s="4" t="n">
        <v>46300</v>
      </c>
      <c r="B11" s="5" t="s">
        <v>17</v>
      </c>
      <c r="C11" s="5" t="s">
        <v>18</v>
      </c>
      <c r="D11" s="6" t="n">
        <v>2500000</v>
      </c>
      <c r="E11" s="6"/>
      <c r="F11" s="6" t="n">
        <f aca="false">F10-D11+E11</f>
        <v>74890000</v>
      </c>
    </row>
    <row r="12" customFormat="false" ht="15" hidden="false" customHeight="false" outlineLevel="0" collapsed="false">
      <c r="A12" s="4" t="n">
        <v>46301</v>
      </c>
      <c r="B12" s="5" t="s">
        <v>19</v>
      </c>
      <c r="C12" s="5" t="s">
        <v>20</v>
      </c>
      <c r="D12" s="6" t="n">
        <v>1120000</v>
      </c>
      <c r="E12" s="6"/>
      <c r="F12" s="6" t="n">
        <f aca="false">F11-D12+E12</f>
        <v>73770000</v>
      </c>
    </row>
    <row r="13" customFormat="false" ht="15" hidden="false" customHeight="false" outlineLevel="0" collapsed="false">
      <c r="A13" s="4" t="n">
        <v>46302</v>
      </c>
      <c r="B13" s="5" t="s">
        <v>17</v>
      </c>
      <c r="C13" s="5" t="s">
        <v>21</v>
      </c>
      <c r="D13" s="6" t="n">
        <v>2500000</v>
      </c>
      <c r="E13" s="6"/>
      <c r="F13" s="6" t="n">
        <f aca="false">F12-D13+E13</f>
        <v>71270000</v>
      </c>
    </row>
    <row r="14" customFormat="false" ht="15" hidden="false" customHeight="false" outlineLevel="0" collapsed="false">
      <c r="A14" s="4" t="n">
        <v>46303</v>
      </c>
      <c r="B14" s="5" t="s">
        <v>22</v>
      </c>
      <c r="C14" s="5" t="s">
        <v>23</v>
      </c>
      <c r="D14" s="6" t="n">
        <v>6840000</v>
      </c>
      <c r="E14" s="6"/>
      <c r="F14" s="6" t="n">
        <f aca="false">F13-D14+E14</f>
        <v>64430000</v>
      </c>
    </row>
    <row r="15" customFormat="false" ht="15" hidden="false" customHeight="false" outlineLevel="0" collapsed="false">
      <c r="A15" s="4" t="n">
        <v>46304</v>
      </c>
      <c r="B15" s="5" t="s">
        <v>24</v>
      </c>
      <c r="C15" s="5" t="s">
        <v>25</v>
      </c>
      <c r="D15" s="6" t="n">
        <v>1580000</v>
      </c>
      <c r="E15" s="6"/>
      <c r="F15" s="6" t="n">
        <f aca="false">F14-D15+E15</f>
        <v>62850000</v>
      </c>
    </row>
    <row r="16" customFormat="false" ht="15" hidden="false" customHeight="false" outlineLevel="0" collapsed="false">
      <c r="A16" s="4" t="n">
        <v>46307</v>
      </c>
      <c r="B16" s="5" t="s">
        <v>26</v>
      </c>
      <c r="C16" s="5" t="s">
        <v>27</v>
      </c>
      <c r="D16" s="6"/>
      <c r="E16" s="6" t="n">
        <v>7450000</v>
      </c>
      <c r="F16" s="6" t="n">
        <f aca="false">F15-D16+E16</f>
        <v>70300000</v>
      </c>
    </row>
    <row r="17" customFormat="false" ht="15" hidden="false" customHeight="false" outlineLevel="0" collapsed="false">
      <c r="A17" s="4" t="n">
        <v>46308</v>
      </c>
      <c r="B17" s="5" t="s">
        <v>28</v>
      </c>
      <c r="C17" s="5" t="s">
        <v>29</v>
      </c>
      <c r="D17" s="6"/>
      <c r="E17" s="6" t="n">
        <v>22900000</v>
      </c>
      <c r="F17" s="6" t="n">
        <f aca="false">F16-D17+E17</f>
        <v>93200000</v>
      </c>
    </row>
    <row r="18" customFormat="false" ht="15" hidden="false" customHeight="false" outlineLevel="0" collapsed="false">
      <c r="A18" s="4" t="n">
        <v>46309</v>
      </c>
      <c r="B18" s="5" t="s">
        <v>30</v>
      </c>
      <c r="C18" s="5" t="s">
        <v>31</v>
      </c>
      <c r="D18" s="6" t="n">
        <v>3265000</v>
      </c>
      <c r="E18" s="6"/>
      <c r="F18" s="6" t="n">
        <f aca="false">F17-D18+E18</f>
        <v>89935000</v>
      </c>
    </row>
    <row r="19" customFormat="false" ht="15" hidden="false" customHeight="false" outlineLevel="0" collapsed="false">
      <c r="A19" s="4" t="n">
        <v>46310</v>
      </c>
      <c r="B19" s="5" t="s">
        <v>32</v>
      </c>
      <c r="C19" s="5" t="s">
        <v>33</v>
      </c>
      <c r="D19" s="6" t="n">
        <v>950000</v>
      </c>
      <c r="E19" s="6"/>
      <c r="F19" s="6" t="n">
        <f aca="false">F18-D19+E19</f>
        <v>88985000</v>
      </c>
    </row>
    <row r="20" customFormat="false" ht="15" hidden="false" customHeight="false" outlineLevel="0" collapsed="false">
      <c r="A20" s="4" t="n">
        <v>46311</v>
      </c>
      <c r="B20" s="5" t="s">
        <v>34</v>
      </c>
      <c r="C20" s="5" t="s">
        <v>35</v>
      </c>
      <c r="D20" s="6" t="n">
        <v>385000</v>
      </c>
      <c r="E20" s="6"/>
      <c r="F20" s="6" t="n">
        <f aca="false">F19-D20+E20</f>
        <v>88600000</v>
      </c>
    </row>
    <row r="21" customFormat="false" ht="15" hidden="false" customHeight="false" outlineLevel="0" collapsed="false">
      <c r="A21" s="4" t="n">
        <v>46314</v>
      </c>
      <c r="B21" s="5" t="s">
        <v>36</v>
      </c>
      <c r="C21" s="5" t="s">
        <v>37</v>
      </c>
      <c r="D21" s="6" t="n">
        <v>28400000</v>
      </c>
      <c r="E21" s="6"/>
      <c r="F21" s="6" t="n">
        <f aca="false">F20-D21+E21</f>
        <v>60200000</v>
      </c>
    </row>
    <row r="22" customFormat="false" ht="15" hidden="false" customHeight="false" outlineLevel="0" collapsed="false">
      <c r="A22" s="4" t="n">
        <v>46315</v>
      </c>
      <c r="B22" s="5" t="s">
        <v>11</v>
      </c>
      <c r="C22" s="5" t="s">
        <v>38</v>
      </c>
      <c r="D22" s="6"/>
      <c r="E22" s="6" t="n">
        <v>9870000</v>
      </c>
      <c r="F22" s="6" t="n">
        <f aca="false">F21-D22+E22</f>
        <v>70070000</v>
      </c>
    </row>
    <row r="23" customFormat="false" ht="15" hidden="false" customHeight="false" outlineLevel="0" collapsed="false">
      <c r="A23" s="4" t="n">
        <v>46316</v>
      </c>
      <c r="B23" s="5" t="s">
        <v>39</v>
      </c>
      <c r="C23" s="5" t="s">
        <v>40</v>
      </c>
      <c r="D23" s="6" t="n">
        <v>8915000</v>
      </c>
      <c r="E23" s="6"/>
      <c r="F23" s="6" t="n">
        <f aca="false">F22-D23+E23</f>
        <v>61155000</v>
      </c>
    </row>
    <row r="24" customFormat="false" ht="15" hidden="false" customHeight="false" outlineLevel="0" collapsed="false">
      <c r="A24" s="4" t="n">
        <v>46317</v>
      </c>
      <c r="B24" s="5" t="s">
        <v>41</v>
      </c>
      <c r="C24" s="5" t="s">
        <v>42</v>
      </c>
      <c r="D24" s="6"/>
      <c r="E24" s="6" t="n">
        <v>5640000</v>
      </c>
      <c r="F24" s="6" t="n">
        <f aca="false">F23-D24+E24</f>
        <v>66795000</v>
      </c>
    </row>
    <row r="25" customFormat="false" ht="15" hidden="false" customHeight="false" outlineLevel="0" collapsed="false">
      <c r="A25" s="4" t="n">
        <v>46318</v>
      </c>
      <c r="B25" s="5" t="s">
        <v>43</v>
      </c>
      <c r="C25" s="5" t="s">
        <v>44</v>
      </c>
      <c r="D25" s="6" t="n">
        <v>2200000</v>
      </c>
      <c r="E25" s="6"/>
      <c r="F25" s="6" t="n">
        <f aca="false">F24-D25+E25</f>
        <v>64595000</v>
      </c>
    </row>
    <row r="26" customFormat="false" ht="15" hidden="false" customHeight="false" outlineLevel="0" collapsed="false">
      <c r="A26" s="4" t="n">
        <v>46321</v>
      </c>
      <c r="B26" s="5" t="s">
        <v>45</v>
      </c>
      <c r="C26" s="5" t="s">
        <v>46</v>
      </c>
      <c r="D26" s="6" t="n">
        <v>1475000</v>
      </c>
      <c r="E26" s="6"/>
      <c r="F26" s="6" t="n">
        <f aca="false">F25-D26+E26</f>
        <v>63120000</v>
      </c>
    </row>
    <row r="27" customFormat="false" ht="15" hidden="false" customHeight="false" outlineLevel="0" collapsed="false">
      <c r="A27" s="4" t="n">
        <v>46322</v>
      </c>
      <c r="B27" s="5" t="s">
        <v>15</v>
      </c>
      <c r="C27" s="5" t="s">
        <v>47</v>
      </c>
      <c r="D27" s="6"/>
      <c r="E27" s="6" t="n">
        <v>13050000</v>
      </c>
      <c r="F27" s="6" t="n">
        <f aca="false">F26-D27+E27</f>
        <v>76170000</v>
      </c>
    </row>
    <row r="28" customFormat="false" ht="15" hidden="false" customHeight="false" outlineLevel="0" collapsed="false">
      <c r="A28" s="4" t="n">
        <v>46323</v>
      </c>
      <c r="B28" s="5" t="s">
        <v>48</v>
      </c>
      <c r="C28" s="5" t="s">
        <v>49</v>
      </c>
      <c r="D28" s="6" t="n">
        <v>210000</v>
      </c>
      <c r="E28" s="6"/>
      <c r="F28" s="6" t="n">
        <f aca="false">F27-D28+E28</f>
        <v>75960000</v>
      </c>
    </row>
    <row r="29" customFormat="false" ht="15" hidden="false" customHeight="false" outlineLevel="0" collapsed="false">
      <c r="A29" s="4" t="n">
        <v>46324</v>
      </c>
      <c r="B29" s="5" t="s">
        <v>50</v>
      </c>
      <c r="C29" s="5" t="s">
        <v>51</v>
      </c>
      <c r="D29" s="6" t="n">
        <v>3600000</v>
      </c>
      <c r="E29" s="6"/>
      <c r="F29" s="6" t="n">
        <f aca="false">F28-D29+E29</f>
        <v>72360000</v>
      </c>
    </row>
    <row r="30" customFormat="false" ht="15" hidden="false" customHeight="false" outlineLevel="0" collapsed="false">
      <c r="A30" s="4" t="n">
        <v>46325</v>
      </c>
      <c r="B30" s="5" t="s">
        <v>52</v>
      </c>
      <c r="C30" s="5"/>
      <c r="D30" s="6"/>
      <c r="E30" s="6" t="n">
        <v>186400</v>
      </c>
      <c r="F30" s="6" t="n">
        <f aca="false">F29-D30+E30</f>
        <v>72546400</v>
      </c>
    </row>
    <row r="31" customFormat="false" ht="15" hidden="false" customHeight="false" outlineLevel="0" collapsed="false">
      <c r="A31" s="4" t="n">
        <v>46326</v>
      </c>
      <c r="B31" s="5" t="s">
        <v>53</v>
      </c>
      <c r="C31" s="5"/>
      <c r="D31" s="6" t="n">
        <v>95000</v>
      </c>
      <c r="E31" s="6"/>
      <c r="F31" s="6" t="n">
        <f aca="false">F30-D31+E31</f>
        <v>72451400</v>
      </c>
    </row>
    <row r="32" customFormat="false" ht="15" hidden="false" customHeight="false" outlineLevel="0" collapsed="false">
      <c r="A32" s="4" t="n">
        <v>46326</v>
      </c>
      <c r="B32" s="5" t="s">
        <v>54</v>
      </c>
      <c r="C32" s="5"/>
      <c r="D32" s="6" t="n">
        <v>9500</v>
      </c>
      <c r="E32" s="6"/>
      <c r="F32" s="6" t="n">
        <f aca="false">F31-D32+E32</f>
        <v>72441900</v>
      </c>
    </row>
    <row r="33" customFormat="false" ht="15" hidden="false" customHeight="false" outlineLevel="0" collapsed="false">
      <c r="A33" s="4" t="n">
        <v>46326</v>
      </c>
      <c r="B33" s="5" t="s">
        <v>55</v>
      </c>
      <c r="C33" s="5"/>
      <c r="D33" s="6" t="n">
        <v>45000</v>
      </c>
      <c r="E33" s="6"/>
      <c r="F33" s="6" t="n">
        <f aca="false">F32-D33+E33</f>
        <v>72396900</v>
      </c>
    </row>
    <row r="35" customFormat="false" ht="15" hidden="false" customHeight="false" outlineLevel="0" collapsed="false">
      <c r="A35" s="8"/>
      <c r="B35" s="8" t="s">
        <v>56</v>
      </c>
      <c r="C35" s="8"/>
      <c r="D35" s="8" t="n">
        <f aca="false">SUM(D8:D33)</f>
        <v>68839500</v>
      </c>
      <c r="E35" s="8"/>
      <c r="F35" s="8"/>
    </row>
    <row r="36" customFormat="false" ht="15" hidden="false" customHeight="false" outlineLevel="0" collapsed="false">
      <c r="A36" s="8"/>
      <c r="B36" s="8" t="s">
        <v>57</v>
      </c>
      <c r="C36" s="8"/>
      <c r="D36" s="8"/>
      <c r="E36" s="8" t="n">
        <f aca="false">SUM(E8:E33)</f>
        <v>88596400</v>
      </c>
      <c r="F36" s="8"/>
    </row>
    <row r="37" customFormat="false" ht="15" hidden="false" customHeight="false" outlineLevel="0" collapsed="false">
      <c r="A37" s="8"/>
      <c r="B37" s="8" t="s">
        <v>58</v>
      </c>
      <c r="C37" s="8"/>
      <c r="D37" s="8"/>
      <c r="E37" s="8"/>
      <c r="F37" s="8" t="n">
        <f aca="false">F33</f>
        <v>72396900</v>
      </c>
    </row>
    <row r="39" customFormat="false" ht="15" hidden="false" customHeight="false" outlineLevel="0" collapsed="false">
      <c r="A39" s="9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2026-09-26T20:36:34Z</dcterms:created>
  <dc:creator>openpyxl</dc:creator>
  <dc:description/>
  <dc:language>en-US</dc:language>
  <cp:lastModifiedBy/>
  <dcterms:modified xsi:type="dcterms:W3CDTF">2026-09-26T20:36:34Z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