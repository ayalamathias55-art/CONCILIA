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y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<sst xmlns="http://schemas.openxmlformats.org/spreadsheetml/2006/main" count="94" uniqueCount="94">
  <si>
    <t xml:space="preserve">EMPRESA DEMO S.A.</t>
  </si>
  <si>
    <t xml:space="preserve">Libro mayor · Cuenta 1.1.01.02 Banco Demo Cta. Cte. Gs.</t>
  </si>
  <si>
    <t xml:space="preserve">Desde 01/10/2026 hasta 31/10/2026</t>
  </si>
  <si>
    <t xml:space="preserve">Fecha</t>
  </si>
  <si>
    <t xml:space="preserve">Nº Asiento</t>
  </si>
  <si>
    <t xml:space="preserve">Concepto</t>
  </si>
  <si>
    <t xml:space="preserve">Comprobante</t>
  </si>
  <si>
    <t xml:space="preserve">Debe</t>
  </si>
  <si>
    <t xml:space="preserve">Haber</t>
  </si>
  <si>
    <t xml:space="preserve">Saldo</t>
  </si>
  <si>
    <t xml:space="preserve">Saldo inicial</t>
  </si>
  <si>
    <t xml:space="preserve">A-2201</t>
  </si>
  <si>
    <t xml:space="preserve">Depósito recaudación caja 30/09</t>
  </si>
  <si>
    <t xml:space="preserve">REC-4410</t>
  </si>
  <si>
    <t xml:space="preserve">A-2205</t>
  </si>
  <si>
    <t xml:space="preserve">Pago Metalúrgica Chaco ch. 005101</t>
  </si>
  <si>
    <t xml:space="preserve">CH-005101</t>
  </si>
  <si>
    <t xml:space="preserve">A-2207</t>
  </si>
  <si>
    <t xml:space="preserve">Cobro Alimentos del Sur fact. 001-001-0007712</t>
  </si>
  <si>
    <t xml:space="preserve">TR-802114</t>
  </si>
  <si>
    <t xml:space="preserve">A-2212</t>
  </si>
  <si>
    <t xml:space="preserve">Pago Papelera Asunción fact. 3301</t>
  </si>
  <si>
    <t xml:space="preserve">TR-671002</t>
  </si>
  <si>
    <t xml:space="preserve">A-2214</t>
  </si>
  <si>
    <t xml:space="preserve">ANDE factura septiembre</t>
  </si>
  <si>
    <t xml:space="preserve">ANDE-1026</t>
  </si>
  <si>
    <t xml:space="preserve">A-2216</t>
  </si>
  <si>
    <t xml:space="preserve">Pago Papelera Asunción fact. 3342</t>
  </si>
  <si>
    <t xml:space="preserve">TR-671045</t>
  </si>
  <si>
    <t xml:space="preserve">A-2218</t>
  </si>
  <si>
    <t xml:space="preserve">Aporte IPS septiembre</t>
  </si>
  <si>
    <t xml:space="preserve">IPS-0926</t>
  </si>
  <si>
    <t xml:space="preserve">A-2219</t>
  </si>
  <si>
    <t xml:space="preserve">Pago Ferretería Lambaré ch. 005102</t>
  </si>
  <si>
    <t xml:space="preserve">CH-005102</t>
  </si>
  <si>
    <t xml:space="preserve">A-2224</t>
  </si>
  <si>
    <t xml:space="preserve">Cobro cliente Benítez ch. Bco. otro</t>
  </si>
  <si>
    <t xml:space="preserve">REC-4431</t>
  </si>
  <si>
    <t xml:space="preserve">A-2225</t>
  </si>
  <si>
    <t xml:space="preserve">Cobro cliente Ortiz ch. Bco. otro</t>
  </si>
  <si>
    <t xml:space="preserve">REC-4432</t>
  </si>
  <si>
    <t xml:space="preserve">A-2226</t>
  </si>
  <si>
    <t xml:space="preserve">Cobro cliente Villalba ch. Bco. otro</t>
  </si>
  <si>
    <t xml:space="preserve">REC-4433</t>
  </si>
  <si>
    <t xml:space="preserve">A-2230</t>
  </si>
  <si>
    <t xml:space="preserve">Cobro Constructora Itapúa fact. 001-001-0007790</t>
  </si>
  <si>
    <t xml:space="preserve">TR-802560</t>
  </si>
  <si>
    <t xml:space="preserve">A-2231</t>
  </si>
  <si>
    <t xml:space="preserve">Pago tarjeta corporativa septiembre</t>
  </si>
  <si>
    <t xml:space="preserve">TC-0926</t>
  </si>
  <si>
    <t xml:space="preserve">A-2233</t>
  </si>
  <si>
    <t xml:space="preserve">Pago Gráfica Mburucuyá ch. 005104</t>
  </si>
  <si>
    <t xml:space="preserve">CH-005104</t>
  </si>
  <si>
    <t xml:space="preserve">A-2236</t>
  </si>
  <si>
    <t xml:space="preserve">COPACO factura septiembre</t>
  </si>
  <si>
    <t xml:space="preserve">COP-1026</t>
  </si>
  <si>
    <t xml:space="preserve">A-2240</t>
  </si>
  <si>
    <t xml:space="preserve">Sueldos y jornales octubre</t>
  </si>
  <si>
    <t xml:space="preserve">SUE-1026</t>
  </si>
  <si>
    <t xml:space="preserve">A-2241</t>
  </si>
  <si>
    <t xml:space="preserve">Depósito recaudación caja 19/10</t>
  </si>
  <si>
    <t xml:space="preserve">REC-4470</t>
  </si>
  <si>
    <t xml:space="preserve">A-2245</t>
  </si>
  <si>
    <t xml:space="preserve">Liquidación IVA septiembre</t>
  </si>
  <si>
    <t xml:space="preserve">SET-0926</t>
  </si>
  <si>
    <t xml:space="preserve">A-2247</t>
  </si>
  <si>
    <t xml:space="preserve">Cobro Farmacias Unidas fact. 001-001-0007815</t>
  </si>
  <si>
    <t xml:space="preserve">TR-802901</t>
  </si>
  <si>
    <t xml:space="preserve">A-2248</t>
  </si>
  <si>
    <t xml:space="preserve">Pago Taller Mecánico San Lorenzo ch. 005105</t>
  </si>
  <si>
    <t xml:space="preserve">CH-005105</t>
  </si>
  <si>
    <t xml:space="preserve">A-2250</t>
  </si>
  <si>
    <t xml:space="preserve">Pago Distribuidora Encarnación ch. 005106</t>
  </si>
  <si>
    <t xml:space="preserve">CH-005106</t>
  </si>
  <si>
    <t xml:space="preserve">A-2253</t>
  </si>
  <si>
    <t xml:space="preserve">Póliza Seguros Guaraní octubre</t>
  </si>
  <si>
    <t xml:space="preserve">TR-671422</t>
  </si>
  <si>
    <t xml:space="preserve">A-2255</t>
  </si>
  <si>
    <t xml:space="preserve">Cobro Alimentos del Sur fact. 001-001-0007840</t>
  </si>
  <si>
    <t xml:space="preserve">TR-803050</t>
  </si>
  <si>
    <t xml:space="preserve">A-2257</t>
  </si>
  <si>
    <t xml:space="preserve">ESSAP factura septiembre</t>
  </si>
  <si>
    <t xml:space="preserve">ESS-1026</t>
  </si>
  <si>
    <t xml:space="preserve">A-2258</t>
  </si>
  <si>
    <t xml:space="preserve">Pago Consultora Horizonte ch. 005107</t>
  </si>
  <si>
    <t xml:space="preserve">CH-005107</t>
  </si>
  <si>
    <t xml:space="preserve">A-2260</t>
  </si>
  <si>
    <t xml:space="preserve">Pago Imprenta Luque ch. 005108</t>
  </si>
  <si>
    <t xml:space="preserve">CH-005108</t>
  </si>
  <si>
    <t xml:space="preserve">A-2264</t>
  </si>
  <si>
    <t xml:space="preserve">Depósito recaudación caja 31/10</t>
  </si>
  <si>
    <t xml:space="preserve">REC-4502</t>
  </si>
  <si>
    <t xml:space="preserve">Totales</t>
  </si>
  <si>
    <t xml:space="preserve">Saldo inicial (celda azul) según cierre de septiembre. Datos ficticios para pruebas.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</si>
</sst>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A6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4A6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n">
        <v>46295</v>
      </c>
      <c r="B6" s="5"/>
      <c r="C6" s="5" t="s">
        <v>10</v>
      </c>
      <c r="D6" s="5"/>
      <c r="E6" s="6"/>
      <c r="F6" s="6"/>
      <c r="G6" s="7" t="n">
        <v>52640000</v>
      </c>
    </row>
    <row r="7" customFormat="false" ht="15" hidden="false" customHeight="false" outlineLevel="0" collapsed="false">
      <c r="A7" s="4" t="n">
        <v>46296</v>
      </c>
      <c r="B7" s="5" t="s">
        <v>11</v>
      </c>
      <c r="C7" s="5" t="s">
        <v>12</v>
      </c>
      <c r="D7" s="5" t="s">
        <v>13</v>
      </c>
      <c r="E7" s="6" t="n">
        <v>18300000</v>
      </c>
      <c r="F7" s="6"/>
      <c r="G7" s="6" t="n">
        <f aca="false">G6+E7-F7</f>
        <v>70940000</v>
      </c>
    </row>
    <row r="8" customFormat="false" ht="15" hidden="false" customHeight="false" outlineLevel="0" collapsed="false">
      <c r="A8" s="4" t="n">
        <v>46296</v>
      </c>
      <c r="B8" s="5" t="s">
        <v>14</v>
      </c>
      <c r="C8" s="5" t="s">
        <v>15</v>
      </c>
      <c r="D8" s="5" t="s">
        <v>16</v>
      </c>
      <c r="E8" s="6"/>
      <c r="F8" s="6" t="n">
        <v>4750000</v>
      </c>
      <c r="G8" s="6" t="n">
        <f aca="false">G7+E8-F8</f>
        <v>66190000</v>
      </c>
    </row>
    <row r="9" customFormat="false" ht="15" hidden="false" customHeight="false" outlineLevel="0" collapsed="false">
      <c r="A9" s="4" t="n">
        <v>46297</v>
      </c>
      <c r="B9" s="5" t="s">
        <v>17</v>
      </c>
      <c r="C9" s="5" t="s">
        <v>18</v>
      </c>
      <c r="D9" s="5" t="s">
        <v>19</v>
      </c>
      <c r="E9" s="6" t="n">
        <v>11200000</v>
      </c>
      <c r="F9" s="6"/>
      <c r="G9" s="6" t="n">
        <f aca="false">G8+E9-F9</f>
        <v>77390000</v>
      </c>
    </row>
    <row r="10" customFormat="false" ht="15" hidden="false" customHeight="false" outlineLevel="0" collapsed="false">
      <c r="A10" s="4" t="n">
        <v>46300</v>
      </c>
      <c r="B10" s="5" t="s">
        <v>20</v>
      </c>
      <c r="C10" s="5" t="s">
        <v>21</v>
      </c>
      <c r="D10" s="5" t="s">
        <v>22</v>
      </c>
      <c r="E10" s="6"/>
      <c r="F10" s="6" t="n">
        <v>2500000</v>
      </c>
      <c r="G10" s="6" t="n">
        <f aca="false">G9+E10-F10</f>
        <v>74890000</v>
      </c>
    </row>
    <row r="11" customFormat="false" ht="15" hidden="false" customHeight="false" outlineLevel="0" collapsed="false">
      <c r="A11" s="4" t="n">
        <v>46301</v>
      </c>
      <c r="B11" s="5" t="s">
        <v>23</v>
      </c>
      <c r="C11" s="5" t="s">
        <v>24</v>
      </c>
      <c r="D11" s="5" t="s">
        <v>25</v>
      </c>
      <c r="E11" s="6"/>
      <c r="F11" s="6" t="n">
        <v>1120000</v>
      </c>
      <c r="G11" s="6" t="n">
        <f aca="false">G10+E11-F11</f>
        <v>73770000</v>
      </c>
    </row>
    <row r="12" customFormat="false" ht="15" hidden="false" customHeight="false" outlineLevel="0" collapsed="false">
      <c r="A12" s="4" t="n">
        <v>46302</v>
      </c>
      <c r="B12" s="5" t="s">
        <v>26</v>
      </c>
      <c r="C12" s="5" t="s">
        <v>27</v>
      </c>
      <c r="D12" s="5" t="s">
        <v>28</v>
      </c>
      <c r="E12" s="6"/>
      <c r="F12" s="6" t="n">
        <v>2500000</v>
      </c>
      <c r="G12" s="6" t="n">
        <f aca="false">G11+E12-F12</f>
        <v>71270000</v>
      </c>
    </row>
    <row r="13" customFormat="false" ht="15" hidden="false" customHeight="false" outlineLevel="0" collapsed="false">
      <c r="A13" s="4" t="n">
        <v>46303</v>
      </c>
      <c r="B13" s="5" t="s">
        <v>29</v>
      </c>
      <c r="C13" s="5" t="s">
        <v>30</v>
      </c>
      <c r="D13" s="5" t="s">
        <v>31</v>
      </c>
      <c r="E13" s="6"/>
      <c r="F13" s="6" t="n">
        <v>6840000</v>
      </c>
      <c r="G13" s="6" t="n">
        <f aca="false">G12+E13-F13</f>
        <v>64430000</v>
      </c>
    </row>
    <row r="14" customFormat="false" ht="15" hidden="false" customHeight="false" outlineLevel="0" collapsed="false">
      <c r="A14" s="4" t="n">
        <v>46303</v>
      </c>
      <c r="B14" s="5" t="s">
        <v>32</v>
      </c>
      <c r="C14" s="5" t="s">
        <v>33</v>
      </c>
      <c r="D14" s="5" t="s">
        <v>34</v>
      </c>
      <c r="E14" s="6"/>
      <c r="F14" s="6" t="n">
        <v>1850000</v>
      </c>
      <c r="G14" s="6" t="n">
        <f aca="false">G13+E14-F14</f>
        <v>62580000</v>
      </c>
    </row>
    <row r="15" customFormat="false" ht="15" hidden="false" customHeight="false" outlineLevel="0" collapsed="false">
      <c r="A15" s="4" t="n">
        <v>46305</v>
      </c>
      <c r="B15" s="5" t="s">
        <v>35</v>
      </c>
      <c r="C15" s="5" t="s">
        <v>36</v>
      </c>
      <c r="D15" s="5" t="s">
        <v>37</v>
      </c>
      <c r="E15" s="6" t="n">
        <v>2000000</v>
      </c>
      <c r="F15" s="6"/>
      <c r="G15" s="6" t="n">
        <f aca="false">G14+E15-F15</f>
        <v>64580000</v>
      </c>
    </row>
    <row r="16" customFormat="false" ht="15" hidden="false" customHeight="false" outlineLevel="0" collapsed="false">
      <c r="A16" s="4" t="n">
        <v>46305</v>
      </c>
      <c r="B16" s="5" t="s">
        <v>38</v>
      </c>
      <c r="C16" s="5" t="s">
        <v>39</v>
      </c>
      <c r="D16" s="5" t="s">
        <v>40</v>
      </c>
      <c r="E16" s="6" t="n">
        <v>3200000</v>
      </c>
      <c r="F16" s="6"/>
      <c r="G16" s="6" t="n">
        <f aca="false">G15+E16-F16</f>
        <v>67780000</v>
      </c>
    </row>
    <row r="17" customFormat="false" ht="15" hidden="false" customHeight="false" outlineLevel="0" collapsed="false">
      <c r="A17" s="4" t="n">
        <v>46306</v>
      </c>
      <c r="B17" s="5" t="s">
        <v>41</v>
      </c>
      <c r="C17" s="5" t="s">
        <v>42</v>
      </c>
      <c r="D17" s="5" t="s">
        <v>43</v>
      </c>
      <c r="E17" s="6" t="n">
        <v>2250000</v>
      </c>
      <c r="F17" s="6"/>
      <c r="G17" s="6" t="n">
        <f aca="false">G16+E17-F17</f>
        <v>70030000</v>
      </c>
    </row>
    <row r="18" customFormat="false" ht="15" hidden="false" customHeight="false" outlineLevel="0" collapsed="false">
      <c r="A18" s="4" t="n">
        <v>46308</v>
      </c>
      <c r="B18" s="5" t="s">
        <v>44</v>
      </c>
      <c r="C18" s="5" t="s">
        <v>45</v>
      </c>
      <c r="D18" s="5" t="s">
        <v>46</v>
      </c>
      <c r="E18" s="6" t="n">
        <v>22900000</v>
      </c>
      <c r="F18" s="6"/>
      <c r="G18" s="6" t="n">
        <f aca="false">G17+E18-F18</f>
        <v>92930000</v>
      </c>
    </row>
    <row r="19" customFormat="false" ht="15" hidden="false" customHeight="false" outlineLevel="0" collapsed="false">
      <c r="A19" s="4" t="n">
        <v>46304</v>
      </c>
      <c r="B19" s="5" t="s">
        <v>47</v>
      </c>
      <c r="C19" s="5" t="s">
        <v>48</v>
      </c>
      <c r="D19" s="5" t="s">
        <v>49</v>
      </c>
      <c r="E19" s="6"/>
      <c r="F19" s="6" t="n">
        <v>3265000</v>
      </c>
      <c r="G19" s="6" t="n">
        <f aca="false">G18+E19-F19</f>
        <v>89665000</v>
      </c>
    </row>
    <row r="20" customFormat="false" ht="15" hidden="false" customHeight="false" outlineLevel="0" collapsed="false">
      <c r="A20" s="4" t="n">
        <v>46307</v>
      </c>
      <c r="B20" s="5" t="s">
        <v>50</v>
      </c>
      <c r="C20" s="5" t="s">
        <v>51</v>
      </c>
      <c r="D20" s="5" t="s">
        <v>52</v>
      </c>
      <c r="E20" s="6"/>
      <c r="F20" s="6" t="n">
        <v>950000</v>
      </c>
      <c r="G20" s="6" t="n">
        <f aca="false">G19+E20-F20</f>
        <v>88715000</v>
      </c>
    </row>
    <row r="21" customFormat="false" ht="15" hidden="false" customHeight="false" outlineLevel="0" collapsed="false">
      <c r="A21" s="4" t="n">
        <v>46311</v>
      </c>
      <c r="B21" s="5" t="s">
        <v>53</v>
      </c>
      <c r="C21" s="5" t="s">
        <v>54</v>
      </c>
      <c r="D21" s="5" t="s">
        <v>55</v>
      </c>
      <c r="E21" s="6"/>
      <c r="F21" s="6" t="n">
        <v>385000</v>
      </c>
      <c r="G21" s="6" t="n">
        <f aca="false">G20+E21-F21</f>
        <v>88330000</v>
      </c>
    </row>
    <row r="22" customFormat="false" ht="15" hidden="false" customHeight="false" outlineLevel="0" collapsed="false">
      <c r="A22" s="4" t="n">
        <v>46314</v>
      </c>
      <c r="B22" s="5" t="s">
        <v>56</v>
      </c>
      <c r="C22" s="5" t="s">
        <v>57</v>
      </c>
      <c r="D22" s="5" t="s">
        <v>58</v>
      </c>
      <c r="E22" s="6"/>
      <c r="F22" s="6" t="n">
        <v>28400000</v>
      </c>
      <c r="G22" s="6" t="n">
        <f aca="false">G21+E22-F22</f>
        <v>59930000</v>
      </c>
    </row>
    <row r="23" customFormat="false" ht="15" hidden="false" customHeight="false" outlineLevel="0" collapsed="false">
      <c r="A23" s="4" t="n">
        <v>46314</v>
      </c>
      <c r="B23" s="5" t="s">
        <v>59</v>
      </c>
      <c r="C23" s="5" t="s">
        <v>60</v>
      </c>
      <c r="D23" s="5" t="s">
        <v>61</v>
      </c>
      <c r="E23" s="6" t="n">
        <v>9870000</v>
      </c>
      <c r="F23" s="6"/>
      <c r="G23" s="6" t="n">
        <f aca="false">G22+E23-F23</f>
        <v>69800000</v>
      </c>
    </row>
    <row r="24" customFormat="false" ht="15" hidden="false" customHeight="false" outlineLevel="0" collapsed="false">
      <c r="A24" s="4" t="n">
        <v>46316</v>
      </c>
      <c r="B24" s="5" t="s">
        <v>62</v>
      </c>
      <c r="C24" s="5" t="s">
        <v>63</v>
      </c>
      <c r="D24" s="5" t="s">
        <v>64</v>
      </c>
      <c r="E24" s="6"/>
      <c r="F24" s="6" t="n">
        <v>8915000</v>
      </c>
      <c r="G24" s="6" t="n">
        <f aca="false">G23+E24-F24</f>
        <v>60885000</v>
      </c>
    </row>
    <row r="25" customFormat="false" ht="15" hidden="false" customHeight="false" outlineLevel="0" collapsed="false">
      <c r="A25" s="4" t="n">
        <v>46317</v>
      </c>
      <c r="B25" s="5" t="s">
        <v>65</v>
      </c>
      <c r="C25" s="5" t="s">
        <v>66</v>
      </c>
      <c r="D25" s="5" t="s">
        <v>67</v>
      </c>
      <c r="E25" s="6" t="n">
        <v>5640000</v>
      </c>
      <c r="F25" s="6"/>
      <c r="G25" s="6" t="n">
        <f aca="false">G24+E25-F25</f>
        <v>66525000</v>
      </c>
    </row>
    <row r="26" customFormat="false" ht="15" hidden="false" customHeight="false" outlineLevel="0" collapsed="false">
      <c r="A26" s="4" t="n">
        <v>46315</v>
      </c>
      <c r="B26" s="5" t="s">
        <v>68</v>
      </c>
      <c r="C26" s="5" t="s">
        <v>69</v>
      </c>
      <c r="D26" s="5" t="s">
        <v>70</v>
      </c>
      <c r="E26" s="6"/>
      <c r="F26" s="6" t="n">
        <v>2200000</v>
      </c>
      <c r="G26" s="6" t="n">
        <f aca="false">G25+E26-F26</f>
        <v>64325000</v>
      </c>
    </row>
    <row r="27" customFormat="false" ht="15" hidden="false" customHeight="false" outlineLevel="0" collapsed="false">
      <c r="A27" s="4" t="n">
        <v>46316</v>
      </c>
      <c r="B27" s="5" t="s">
        <v>71</v>
      </c>
      <c r="C27" s="5" t="s">
        <v>72</v>
      </c>
      <c r="D27" s="5" t="s">
        <v>73</v>
      </c>
      <c r="E27" s="6"/>
      <c r="F27" s="6" t="n">
        <v>4130000</v>
      </c>
      <c r="G27" s="6" t="n">
        <f aca="false">G26+E27-F27</f>
        <v>60195000</v>
      </c>
    </row>
    <row r="28" customFormat="false" ht="15" hidden="false" customHeight="false" outlineLevel="0" collapsed="false">
      <c r="A28" s="4" t="n">
        <v>46321</v>
      </c>
      <c r="B28" s="5" t="s">
        <v>74</v>
      </c>
      <c r="C28" s="5" t="s">
        <v>75</v>
      </c>
      <c r="D28" s="5" t="s">
        <v>76</v>
      </c>
      <c r="E28" s="6"/>
      <c r="F28" s="6" t="n">
        <v>1475000</v>
      </c>
      <c r="G28" s="6" t="n">
        <f aca="false">G27+E28-F28</f>
        <v>58720000</v>
      </c>
    </row>
    <row r="29" customFormat="false" ht="15" hidden="false" customHeight="false" outlineLevel="0" collapsed="false">
      <c r="A29" s="4" t="n">
        <v>46322</v>
      </c>
      <c r="B29" s="5" t="s">
        <v>77</v>
      </c>
      <c r="C29" s="5" t="s">
        <v>78</v>
      </c>
      <c r="D29" s="5" t="s">
        <v>79</v>
      </c>
      <c r="E29" s="6" t="n">
        <v>13050000</v>
      </c>
      <c r="F29" s="6"/>
      <c r="G29" s="6" t="n">
        <f aca="false">G28+E29-F29</f>
        <v>71770000</v>
      </c>
    </row>
    <row r="30" customFormat="false" ht="15" hidden="false" customHeight="false" outlineLevel="0" collapsed="false">
      <c r="A30" s="4" t="n">
        <v>46323</v>
      </c>
      <c r="B30" s="5" t="s">
        <v>80</v>
      </c>
      <c r="C30" s="5" t="s">
        <v>81</v>
      </c>
      <c r="D30" s="5" t="s">
        <v>82</v>
      </c>
      <c r="E30" s="6"/>
      <c r="F30" s="6" t="n">
        <v>210000</v>
      </c>
      <c r="G30" s="6" t="n">
        <f aca="false">G29+E30-F30</f>
        <v>71560000</v>
      </c>
    </row>
    <row r="31" customFormat="false" ht="15" hidden="false" customHeight="false" outlineLevel="0" collapsed="false">
      <c r="A31" s="4" t="n">
        <v>46322</v>
      </c>
      <c r="B31" s="5" t="s">
        <v>83</v>
      </c>
      <c r="C31" s="5" t="s">
        <v>84</v>
      </c>
      <c r="D31" s="5" t="s">
        <v>85</v>
      </c>
      <c r="E31" s="6"/>
      <c r="F31" s="6" t="n">
        <v>3600000</v>
      </c>
      <c r="G31" s="6" t="n">
        <f aca="false">G30+E31-F31</f>
        <v>67960000</v>
      </c>
    </row>
    <row r="32" customFormat="false" ht="15" hidden="false" customHeight="false" outlineLevel="0" collapsed="false">
      <c r="A32" s="4" t="n">
        <v>46324</v>
      </c>
      <c r="B32" s="5" t="s">
        <v>86</v>
      </c>
      <c r="C32" s="5" t="s">
        <v>87</v>
      </c>
      <c r="D32" s="5" t="s">
        <v>88</v>
      </c>
      <c r="E32" s="6"/>
      <c r="F32" s="6" t="n">
        <v>1290000</v>
      </c>
      <c r="G32" s="6" t="n">
        <f aca="false">G31+E32-F32</f>
        <v>66670000</v>
      </c>
    </row>
    <row r="33" customFormat="false" ht="15" hidden="false" customHeight="false" outlineLevel="0" collapsed="false">
      <c r="A33" s="4" t="n">
        <v>46326</v>
      </c>
      <c r="B33" s="5" t="s">
        <v>89</v>
      </c>
      <c r="C33" s="5" t="s">
        <v>90</v>
      </c>
      <c r="D33" s="5" t="s">
        <v>91</v>
      </c>
      <c r="E33" s="6" t="n">
        <v>11480000</v>
      </c>
      <c r="F33" s="6"/>
      <c r="G33" s="6" t="n">
        <f aca="false">G32+E33-F33</f>
        <v>78150000</v>
      </c>
    </row>
    <row r="35" customFormat="false" ht="15" hidden="false" customHeight="false" outlineLevel="0" collapsed="false">
      <c r="A35" s="8"/>
      <c r="B35" s="8"/>
      <c r="C35" s="8" t="s">
        <v>92</v>
      </c>
      <c r="D35" s="8"/>
      <c r="E35" s="8" t="n">
        <f aca="false">SUM(E7:E33)</f>
        <v>99890000</v>
      </c>
      <c r="F35" s="8" t="n">
        <f aca="false">SUM(F7:F33)</f>
        <v>74380000</v>
      </c>
      <c r="G35" s="8" t="n">
        <f aca="false">G33</f>
        <v>78150000</v>
      </c>
    </row>
    <row r="37" customFormat="false" ht="15" hidden="false" customHeight="false" outlineLevel="0" collapsed="false">
      <c r="A37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2026-09-26T20:36:34Z</dcterms:created>
  <dc:creator>openpyxl</dc:creator>
  <dc:description/>
  <dc:language>en-US</dc:language>
  <cp:lastModifiedBy/>
  <dcterms:modified xsi:type="dcterms:W3CDTF">2026-09-26T20:36:34Z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